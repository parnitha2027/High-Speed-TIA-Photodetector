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rnitha\IGDTUW\Preciqube\PCB_Amplifier\LTSpice\OPA657\"/>
    </mc:Choice>
  </mc:AlternateContent>
  <xr:revisionPtr revIDLastSave="0" documentId="13_ncr:1_{2ADC556C-1B19-421B-8D43-BEBD042E0360}" xr6:coauthVersionLast="47" xr6:coauthVersionMax="47" xr10:uidLastSave="{00000000-0000-0000-0000-000000000000}"/>
  <bookViews>
    <workbookView xWindow="-83" yWindow="0" windowWidth="10965" windowHeight="12863" xr2:uid="{19E6B8DB-B058-4996-908C-9C89A3015BA2}"/>
  </bookViews>
  <sheets>
    <sheet name="Sheet1" sheetId="1" r:id="rId1"/>
  </sheets>
  <definedNames>
    <definedName name="_xlnm._FilterDatabase" localSheetId="0" hidden="1">Sheet1!$A$1:$M$1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6" i="1" l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<sst xmlns="http://schemas.openxmlformats.org/spreadsheetml/2006/main" count="13" uniqueCount="13">
  <si>
    <t>S.no</t>
  </si>
  <si>
    <t>Base Gain(dB)</t>
  </si>
  <si>
    <t>Capacitance(pF)</t>
  </si>
  <si>
    <t>Peak Gain(dB)</t>
  </si>
  <si>
    <t>Gain Peaking(dB)</t>
  </si>
  <si>
    <t>Freq@169° (MHz)</t>
  </si>
  <si>
    <t>Freq@168° (MHz)</t>
  </si>
  <si>
    <t>Freq@170° (MHz)</t>
  </si>
  <si>
    <t>Freq@171° (MHz)</t>
  </si>
  <si>
    <t>Freq@172° (MHz)</t>
  </si>
  <si>
    <t>Freq@173° (MHz)</t>
  </si>
  <si>
    <t>Resistor (Ω)</t>
  </si>
  <si>
    <t>Freq_167° (MHz)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</si>
</sst>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0" fontId="2" fillId="4" borderId="0" xfId="1" applyFont="1" applyFill="1"/>
    <xf numFmtId="0" fontId="3" fillId="4" borderId="0" xfId="0" applyFont="1" applyFill="1"/>
    <xf numFmtId="0" fontId="4" fillId="4" borderId="0" xfId="1" applyFont="1" applyFill="1" applyAlignment="1">
      <alignment vertical="center"/>
    </xf>
    <xf numFmtId="0" fontId="4" fillId="4" borderId="0" xfId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req@171&#176;%20(MHz)" TargetMode="External"/><Relationship Id="rId7" Type="http://schemas.openxmlformats.org/officeDocument/2006/relationships/hyperlink" Target="mailto:Freq@167&#176;%20(MHz)" TargetMode="External"/><Relationship Id="rId2" Type="http://schemas.openxmlformats.org/officeDocument/2006/relationships/hyperlink" Target="mailto:Freq@170&#176;%20(MHz)" TargetMode="External"/><Relationship Id="rId1" Type="http://schemas.openxmlformats.org/officeDocument/2006/relationships/hyperlink" Target="mailto:Freq@169&#176;%20(MHz)" TargetMode="External"/><Relationship Id="rId6" Type="http://schemas.openxmlformats.org/officeDocument/2006/relationships/hyperlink" Target="mailto:Freq@168&#176;%20(MHz)" TargetMode="External"/><Relationship Id="rId5" Type="http://schemas.openxmlformats.org/officeDocument/2006/relationships/hyperlink" Target="mailto:Freq@173&#176;%20(MHz)" TargetMode="External"/><Relationship Id="rId4" Type="http://schemas.openxmlformats.org/officeDocument/2006/relationships/hyperlink" Target="mailto:Freq@172&#176;%20(MHz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C8538-1F69-4EED-B4E2-F174E0EC90CE}">
  <dimension ref="A1:M26"/>
  <sheetViews>
    <sheetView tabSelected="1" topLeftCell="J1" zoomScale="98" workbookViewId="0">
      <selection activeCell="M27" sqref="M27"/>
    </sheetView>
  </sheetViews>
  <sheetFormatPr defaultRowHeight="14.25" x14ac:dyDescent="0.45"/>
  <cols>
    <col min="2" max="2" width="13.06640625" customWidth="1"/>
    <col min="3" max="3" width="15.73046875" customWidth="1"/>
    <col min="4" max="4" width="12.6640625" customWidth="1"/>
    <col min="5" max="5" width="14" customWidth="1"/>
    <col min="6" max="6" width="14.73046875" customWidth="1"/>
    <col min="7" max="7" width="14.3984375" customWidth="1"/>
    <col min="8" max="8" width="14.59765625" customWidth="1"/>
    <col min="9" max="9" width="15.1328125" customWidth="1"/>
    <col min="10" max="10" width="14.86328125" customWidth="1"/>
    <col min="11" max="11" width="14.73046875" customWidth="1"/>
    <col min="12" max="12" width="14.53125" bestFit="1" customWidth="1"/>
    <col min="13" max="13" width="15.46484375" customWidth="1"/>
  </cols>
  <sheetData>
    <row r="1" spans="1:13" x14ac:dyDescent="0.45">
      <c r="A1" s="6" t="s">
        <v>0</v>
      </c>
      <c r="B1" s="6" t="s">
        <v>11</v>
      </c>
      <c r="C1" s="6" t="s">
        <v>2</v>
      </c>
      <c r="D1" s="6" t="s">
        <v>1</v>
      </c>
      <c r="E1" s="6" t="s">
        <v>3</v>
      </c>
      <c r="F1" s="6" t="s">
        <v>4</v>
      </c>
      <c r="G1" s="5" t="s">
        <v>12</v>
      </c>
      <c r="H1" s="7" t="s">
        <v>6</v>
      </c>
      <c r="I1" s="8" t="s">
        <v>5</v>
      </c>
      <c r="J1" s="5" t="s">
        <v>7</v>
      </c>
      <c r="K1" s="5" t="s">
        <v>8</v>
      </c>
      <c r="L1" s="5" t="s">
        <v>9</v>
      </c>
      <c r="M1" s="5" t="s">
        <v>10</v>
      </c>
    </row>
    <row r="2" spans="1:13" x14ac:dyDescent="0.45">
      <c r="A2" s="1">
        <v>1</v>
      </c>
      <c r="B2" s="1">
        <v>50</v>
      </c>
      <c r="C2" s="1">
        <v>19</v>
      </c>
      <c r="D2" s="2">
        <v>34.006</v>
      </c>
      <c r="E2" s="2">
        <v>35.200000000000003</v>
      </c>
      <c r="F2" s="2">
        <f>E2-D2</f>
        <v>1.1940000000000026</v>
      </c>
      <c r="G2" s="2">
        <v>32.06</v>
      </c>
      <c r="H2" s="2">
        <v>29.3</v>
      </c>
      <c r="I2" s="2">
        <v>26.818999999999999</v>
      </c>
      <c r="J2" s="2">
        <v>24.52</v>
      </c>
      <c r="K2" s="2">
        <v>21.21</v>
      </c>
      <c r="L2" s="2">
        <v>18.14</v>
      </c>
      <c r="M2" s="2">
        <v>16.77</v>
      </c>
    </row>
    <row r="3" spans="1:13" x14ac:dyDescent="0.45">
      <c r="A3" s="1">
        <v>2</v>
      </c>
      <c r="B3" s="1">
        <v>50</v>
      </c>
      <c r="C3" s="1">
        <v>20</v>
      </c>
      <c r="D3" s="2">
        <v>34.01</v>
      </c>
      <c r="E3" s="2">
        <v>34.914000000000001</v>
      </c>
      <c r="F3" s="2">
        <f t="shared" ref="F3:F26" si="0">E3-D3</f>
        <v>0.90400000000000347</v>
      </c>
      <c r="G3" s="2">
        <v>29.32</v>
      </c>
      <c r="H3" s="2">
        <v>27.4</v>
      </c>
      <c r="I3" s="2">
        <v>25.9</v>
      </c>
      <c r="J3" s="2">
        <v>22.93</v>
      </c>
      <c r="K3" s="2">
        <v>20.97</v>
      </c>
      <c r="L3" s="2">
        <v>18.7</v>
      </c>
      <c r="M3" s="2">
        <v>16.399999999999999</v>
      </c>
    </row>
    <row r="4" spans="1:13" x14ac:dyDescent="0.45">
      <c r="A4" s="1">
        <v>3</v>
      </c>
      <c r="B4" s="1">
        <v>50</v>
      </c>
      <c r="C4" s="1">
        <v>21</v>
      </c>
      <c r="D4" s="2">
        <v>34</v>
      </c>
      <c r="E4" s="2">
        <v>34.58</v>
      </c>
      <c r="F4" s="2">
        <f t="shared" si="0"/>
        <v>0.57999999999999829</v>
      </c>
      <c r="G4" s="2">
        <v>28.67</v>
      </c>
      <c r="H4" s="2">
        <v>27.73</v>
      </c>
      <c r="I4" s="2">
        <v>25.08</v>
      </c>
      <c r="J4" s="2">
        <v>22.93</v>
      </c>
      <c r="K4" s="2">
        <v>20.744</v>
      </c>
      <c r="L4" s="2">
        <v>18.34</v>
      </c>
      <c r="M4" s="2">
        <v>16.04</v>
      </c>
    </row>
    <row r="5" spans="1:13" x14ac:dyDescent="0.45">
      <c r="A5" s="1">
        <v>4</v>
      </c>
      <c r="B5" s="1">
        <v>50</v>
      </c>
      <c r="C5" s="1">
        <v>22</v>
      </c>
      <c r="D5" s="2">
        <v>33.979999999999997</v>
      </c>
      <c r="E5" s="2">
        <v>34.26</v>
      </c>
      <c r="F5" s="2">
        <f t="shared" si="0"/>
        <v>0.28000000000000114</v>
      </c>
      <c r="G5" s="2">
        <v>28.89</v>
      </c>
      <c r="H5" s="2">
        <v>26.62</v>
      </c>
      <c r="I5" s="2">
        <v>24.34</v>
      </c>
      <c r="J5" s="2">
        <v>22.26</v>
      </c>
      <c r="K5" s="2">
        <v>19.32</v>
      </c>
      <c r="L5" s="2">
        <v>17.670000000000002</v>
      </c>
      <c r="M5" s="2">
        <v>15.45</v>
      </c>
    </row>
    <row r="6" spans="1:13" x14ac:dyDescent="0.45">
      <c r="A6" s="3">
        <v>5</v>
      </c>
      <c r="B6" s="3">
        <v>60</v>
      </c>
      <c r="C6" s="3">
        <v>17</v>
      </c>
      <c r="D6" s="4">
        <v>35.567999999999998</v>
      </c>
      <c r="E6" s="4">
        <v>36.505000000000003</v>
      </c>
      <c r="F6" s="4">
        <f t="shared" si="0"/>
        <v>0.93700000000000472</v>
      </c>
      <c r="G6" s="4">
        <v>30.803999999999998</v>
      </c>
      <c r="H6" s="4">
        <v>28.326000000000001</v>
      </c>
      <c r="I6" s="4">
        <v>26.047999999999998</v>
      </c>
      <c r="J6" s="4">
        <v>23.456</v>
      </c>
      <c r="K6" s="4">
        <v>21.120999999999999</v>
      </c>
      <c r="L6" s="4">
        <v>18.625</v>
      </c>
      <c r="M6" s="4">
        <v>16.422999999999998</v>
      </c>
    </row>
    <row r="7" spans="1:13" x14ac:dyDescent="0.45">
      <c r="A7" s="3">
        <v>6</v>
      </c>
      <c r="B7" s="3">
        <v>60</v>
      </c>
      <c r="C7" s="3">
        <v>18</v>
      </c>
      <c r="D7" s="4">
        <v>35.566000000000003</v>
      </c>
      <c r="E7" s="4">
        <v>36.122</v>
      </c>
      <c r="F7" s="4">
        <f t="shared" si="0"/>
        <v>0.55599999999999739</v>
      </c>
      <c r="G7" s="4">
        <v>28.927</v>
      </c>
      <c r="H7" s="4">
        <v>26.600999999999999</v>
      </c>
      <c r="I7" s="4">
        <v>24.460999999999999</v>
      </c>
      <c r="J7" s="4">
        <v>22.492999999999999</v>
      </c>
      <c r="K7" s="4">
        <v>19.422000000000001</v>
      </c>
      <c r="L7" s="4">
        <v>17.861000000000001</v>
      </c>
      <c r="M7" s="4">
        <v>15.749000000000001</v>
      </c>
    </row>
    <row r="8" spans="1:13" x14ac:dyDescent="0.45">
      <c r="A8" s="3">
        <v>7</v>
      </c>
      <c r="B8" s="3">
        <v>60</v>
      </c>
      <c r="C8" s="3">
        <v>19</v>
      </c>
      <c r="D8" s="4">
        <v>35.563000000000002</v>
      </c>
      <c r="E8" s="4">
        <v>35.783000000000001</v>
      </c>
      <c r="F8" s="4">
        <f t="shared" si="0"/>
        <v>0.21999999999999886</v>
      </c>
      <c r="G8" s="4">
        <v>27.161999999999999</v>
      </c>
      <c r="H8" s="4">
        <v>26.007000000000001</v>
      </c>
      <c r="I8" s="4">
        <v>23.331</v>
      </c>
      <c r="J8" s="4">
        <v>20.928999999999998</v>
      </c>
      <c r="K8" s="4">
        <v>19.187000000000001</v>
      </c>
      <c r="L8" s="4">
        <v>17.212</v>
      </c>
      <c r="M8" s="4">
        <v>15.109</v>
      </c>
    </row>
    <row r="9" spans="1:13" x14ac:dyDescent="0.45">
      <c r="A9" s="3">
        <v>8</v>
      </c>
      <c r="B9" s="3">
        <v>60</v>
      </c>
      <c r="C9" s="3">
        <v>20</v>
      </c>
      <c r="D9" s="4">
        <v>35.563000000000002</v>
      </c>
      <c r="E9" s="4">
        <v>35.561999999999998</v>
      </c>
      <c r="F9" s="4">
        <f t="shared" si="0"/>
        <v>-1.0000000000047748E-3</v>
      </c>
      <c r="G9" s="4">
        <v>26.898299999999999</v>
      </c>
      <c r="H9" s="4">
        <v>24.784700000000001</v>
      </c>
      <c r="I9" s="4">
        <v>22.667899999999999</v>
      </c>
      <c r="J9" s="4">
        <v>20.7319</v>
      </c>
      <c r="K9" s="4">
        <v>18.572700000000001</v>
      </c>
      <c r="L9" s="4">
        <v>16.584</v>
      </c>
      <c r="M9" s="4">
        <v>14.0807</v>
      </c>
    </row>
    <row r="10" spans="1:13" x14ac:dyDescent="0.45">
      <c r="A10" s="1">
        <v>9</v>
      </c>
      <c r="B10" s="1">
        <v>70</v>
      </c>
      <c r="C10" s="1">
        <v>15</v>
      </c>
      <c r="D10" s="2">
        <v>36.901899999999998</v>
      </c>
      <c r="E10" s="2">
        <v>37.832000000000001</v>
      </c>
      <c r="F10" s="2">
        <f t="shared" si="0"/>
        <v>0.93010000000000304</v>
      </c>
      <c r="G10" s="2">
        <v>29.692</v>
      </c>
      <c r="H10" s="2">
        <v>27.5</v>
      </c>
      <c r="I10" s="2">
        <v>25.469799999999999</v>
      </c>
      <c r="J10" s="2">
        <v>21.847999999999999</v>
      </c>
      <c r="K10" s="2">
        <v>20.235099999999999</v>
      </c>
      <c r="L10" s="2">
        <v>17.9377</v>
      </c>
      <c r="M10" s="2">
        <v>16.253299999999999</v>
      </c>
    </row>
    <row r="11" spans="1:13" x14ac:dyDescent="0.45">
      <c r="A11" s="1">
        <v>10</v>
      </c>
      <c r="B11" s="1">
        <v>70</v>
      </c>
      <c r="C11" s="1">
        <v>16</v>
      </c>
      <c r="D11" s="2">
        <v>36.901899999999998</v>
      </c>
      <c r="E11" s="2">
        <v>37.410400000000003</v>
      </c>
      <c r="F11" s="2">
        <f t="shared" si="0"/>
        <v>0.50850000000000506</v>
      </c>
      <c r="G11" s="2">
        <v>28.109300000000001</v>
      </c>
      <c r="H11" s="2">
        <v>25.750399999999999</v>
      </c>
      <c r="I11" s="2">
        <v>26.033999999999999</v>
      </c>
      <c r="J11" s="2">
        <v>21.61</v>
      </c>
      <c r="K11" s="2">
        <v>19.5808</v>
      </c>
      <c r="L11" s="2">
        <v>15.5556</v>
      </c>
      <c r="M11" s="2">
        <v>15.0534</v>
      </c>
    </row>
    <row r="12" spans="1:13" x14ac:dyDescent="0.45">
      <c r="A12" s="1">
        <v>11</v>
      </c>
      <c r="B12" s="1">
        <v>70</v>
      </c>
      <c r="C12" s="1">
        <v>17</v>
      </c>
      <c r="D12" s="2">
        <v>36.901899999999998</v>
      </c>
      <c r="E12" s="2">
        <v>37.073500000000003</v>
      </c>
      <c r="F12" s="2">
        <f t="shared" si="0"/>
        <v>0.17160000000000508</v>
      </c>
      <c r="G12" s="2">
        <v>26.033999999999999</v>
      </c>
      <c r="H12" s="2">
        <v>24.9178</v>
      </c>
      <c r="I12" s="2">
        <v>22.826799999999999</v>
      </c>
      <c r="J12" s="2">
        <v>20.683399999999999</v>
      </c>
      <c r="K12" s="2">
        <v>18.741199999999999</v>
      </c>
      <c r="L12" s="2">
        <v>16.613399999999999</v>
      </c>
      <c r="M12" s="2">
        <v>14.407999999999999</v>
      </c>
    </row>
    <row r="13" spans="1:13" x14ac:dyDescent="0.45">
      <c r="A13" s="1">
        <v>12</v>
      </c>
      <c r="B13" s="1">
        <v>70</v>
      </c>
      <c r="C13" s="1">
        <v>18</v>
      </c>
      <c r="D13" s="2">
        <v>36.901899999999998</v>
      </c>
      <c r="E13" s="2">
        <v>36.891800000000003</v>
      </c>
      <c r="F13" s="2">
        <f t="shared" si="0"/>
        <v>-1.0099999999994225E-2</v>
      </c>
      <c r="G13" s="2">
        <v>25.750399999999999</v>
      </c>
      <c r="H13" s="2">
        <v>23.849399999999999</v>
      </c>
      <c r="I13" s="2">
        <v>21.847999999999999</v>
      </c>
      <c r="J13" s="2">
        <v>19.3675</v>
      </c>
      <c r="K13" s="2">
        <v>17.357700000000001</v>
      </c>
      <c r="L13" s="2">
        <v>15.9011</v>
      </c>
      <c r="M13" s="2">
        <v>13.9421</v>
      </c>
    </row>
    <row r="14" spans="1:13" x14ac:dyDescent="0.45">
      <c r="A14" s="3">
        <v>13</v>
      </c>
      <c r="B14" s="3">
        <v>80</v>
      </c>
      <c r="C14" s="3">
        <v>13</v>
      </c>
      <c r="D14" s="4">
        <v>38.062800000000003</v>
      </c>
      <c r="E14" s="4">
        <v>39.249099999999999</v>
      </c>
      <c r="F14" s="4">
        <f t="shared" si="0"/>
        <v>1.1862999999999957</v>
      </c>
      <c r="G14" s="4">
        <v>30.325700000000001</v>
      </c>
      <c r="H14" s="4">
        <v>28.045100000000001</v>
      </c>
      <c r="I14" s="4">
        <v>25.648</v>
      </c>
      <c r="J14" s="4">
        <v>23.4558</v>
      </c>
      <c r="K14" s="4">
        <v>21.212700000000002</v>
      </c>
      <c r="L14" s="4">
        <v>18.552</v>
      </c>
      <c r="M14" s="4">
        <v>16.225000000000001</v>
      </c>
    </row>
    <row r="15" spans="1:13" x14ac:dyDescent="0.45">
      <c r="A15" s="3">
        <v>14</v>
      </c>
      <c r="B15" s="3">
        <v>80</v>
      </c>
      <c r="C15" s="3">
        <v>14</v>
      </c>
      <c r="D15" s="4">
        <v>38.061799999999998</v>
      </c>
      <c r="E15" s="4">
        <v>38.774999999999999</v>
      </c>
      <c r="F15" s="4">
        <f t="shared" si="0"/>
        <v>0.7132000000000005</v>
      </c>
      <c r="G15" s="4">
        <v>28.418900000000001</v>
      </c>
      <c r="H15" s="4">
        <v>25.750399999999999</v>
      </c>
      <c r="I15" s="4">
        <v>23.589500000000001</v>
      </c>
      <c r="J15" s="4">
        <v>21.847999999999999</v>
      </c>
      <c r="K15" s="4">
        <v>19.3675</v>
      </c>
      <c r="L15" s="4">
        <v>17.168500000000002</v>
      </c>
      <c r="M15" s="4">
        <v>15.2193</v>
      </c>
    </row>
    <row r="16" spans="1:13" x14ac:dyDescent="0.45">
      <c r="A16" s="3">
        <v>15</v>
      </c>
      <c r="B16" s="3">
        <v>80</v>
      </c>
      <c r="C16" s="3">
        <v>15</v>
      </c>
      <c r="D16" s="4">
        <v>38.062399999999997</v>
      </c>
      <c r="E16" s="4">
        <v>38.375700000000002</v>
      </c>
      <c r="F16" s="4">
        <f t="shared" si="0"/>
        <v>0.31330000000000524</v>
      </c>
      <c r="G16" s="4">
        <v>26.904</v>
      </c>
      <c r="H16" s="4">
        <v>24.377700000000001</v>
      </c>
      <c r="I16" s="4">
        <v>22.578099999999999</v>
      </c>
      <c r="J16" s="4">
        <v>20.235099999999999</v>
      </c>
      <c r="K16" s="4">
        <v>18.536999999999999</v>
      </c>
      <c r="L16" s="4">
        <v>16.253299999999999</v>
      </c>
      <c r="M16" s="4">
        <v>14.566700000000001</v>
      </c>
    </row>
    <row r="17" spans="1:13" x14ac:dyDescent="0.45">
      <c r="A17" s="3">
        <v>16</v>
      </c>
      <c r="B17" s="3">
        <v>80</v>
      </c>
      <c r="C17" s="3">
        <v>16</v>
      </c>
      <c r="D17" s="4">
        <v>38.061799999999998</v>
      </c>
      <c r="E17" s="4">
        <v>38.103900000000003</v>
      </c>
      <c r="F17" s="4">
        <f t="shared" si="0"/>
        <v>4.2100000000004911E-2</v>
      </c>
      <c r="G17" s="4">
        <v>24.9178</v>
      </c>
      <c r="H17" s="4">
        <v>23.3352</v>
      </c>
      <c r="I17" s="4">
        <v>21.1416</v>
      </c>
      <c r="J17" s="4">
        <v>18.335000000000001</v>
      </c>
      <c r="K17" s="4">
        <v>16.796399999999998</v>
      </c>
      <c r="L17" s="4">
        <v>15.386900000000001</v>
      </c>
      <c r="M17" s="4">
        <v>13.639900000000001</v>
      </c>
    </row>
    <row r="18" spans="1:13" x14ac:dyDescent="0.45">
      <c r="A18" s="1">
        <v>17</v>
      </c>
      <c r="B18" s="1">
        <v>90</v>
      </c>
      <c r="C18" s="1">
        <v>13</v>
      </c>
      <c r="D18" s="2">
        <v>39.084899999999998</v>
      </c>
      <c r="E18" s="2">
        <v>39.716099999999997</v>
      </c>
      <c r="F18" s="2">
        <f t="shared" si="0"/>
        <v>0.63119999999999976</v>
      </c>
      <c r="G18" s="2">
        <v>26.414200000000001</v>
      </c>
      <c r="H18" s="2">
        <v>24.020499999999998</v>
      </c>
      <c r="I18" s="2">
        <v>22.1631</v>
      </c>
      <c r="J18" s="2">
        <v>20.449300000000001</v>
      </c>
      <c r="K18" s="2">
        <v>18.867999999999999</v>
      </c>
      <c r="L18" s="2">
        <v>16.499600000000001</v>
      </c>
      <c r="M18" s="2">
        <v>14.424799999999999</v>
      </c>
    </row>
    <row r="19" spans="1:13" x14ac:dyDescent="0.45">
      <c r="A19" s="1">
        <v>18</v>
      </c>
      <c r="B19" s="1">
        <v>90</v>
      </c>
      <c r="C19" s="1">
        <v>14</v>
      </c>
      <c r="D19" s="2">
        <v>39.084800000000001</v>
      </c>
      <c r="E19" s="2">
        <v>39.332299999999996</v>
      </c>
      <c r="F19" s="2">
        <f t="shared" si="0"/>
        <v>0.24749999999999517</v>
      </c>
      <c r="G19" s="2">
        <v>25.192299999999999</v>
      </c>
      <c r="H19" s="2">
        <v>23.589500000000001</v>
      </c>
      <c r="I19" s="2">
        <v>21.847999999999999</v>
      </c>
      <c r="J19" s="2">
        <v>19.3675</v>
      </c>
      <c r="K19" s="2">
        <v>16.796399999999998</v>
      </c>
      <c r="L19" s="2">
        <v>15.7278</v>
      </c>
      <c r="M19" s="2">
        <v>13.9421</v>
      </c>
    </row>
    <row r="20" spans="1:13" x14ac:dyDescent="0.45">
      <c r="A20" s="1">
        <v>19</v>
      </c>
      <c r="B20" s="1">
        <v>90</v>
      </c>
      <c r="C20" s="1">
        <v>15</v>
      </c>
      <c r="D20" s="2">
        <v>39.084800000000001</v>
      </c>
      <c r="E20" s="2">
        <v>39.093200000000003</v>
      </c>
      <c r="F20" s="2">
        <f t="shared" si="0"/>
        <v>8.4000000000017394E-3</v>
      </c>
      <c r="G20" s="2">
        <v>23.589500000000001</v>
      </c>
      <c r="H20" s="2">
        <v>22.332000000000001</v>
      </c>
      <c r="I20" s="2">
        <v>20.014600000000002</v>
      </c>
      <c r="J20" s="2">
        <v>18.135300000000001</v>
      </c>
      <c r="K20" s="2">
        <v>16.253299999999999</v>
      </c>
      <c r="L20" s="2">
        <v>14.566700000000001</v>
      </c>
      <c r="M20" s="2">
        <v>13.055099999999999</v>
      </c>
    </row>
    <row r="21" spans="1:13" x14ac:dyDescent="0.45">
      <c r="A21" s="1">
        <v>20</v>
      </c>
      <c r="B21" s="1">
        <v>90</v>
      </c>
      <c r="C21" s="1">
        <v>16</v>
      </c>
      <c r="D21" s="2">
        <v>39.084800000000001</v>
      </c>
      <c r="E21" s="2">
        <v>39.073219999999999</v>
      </c>
      <c r="F21" s="2">
        <f t="shared" si="0"/>
        <v>-1.1580000000002144E-2</v>
      </c>
      <c r="G21" s="2">
        <v>22.578099999999999</v>
      </c>
      <c r="H21" s="2">
        <v>21.1416</v>
      </c>
      <c r="I21" s="2">
        <v>18.741199999999999</v>
      </c>
      <c r="J21" s="2">
        <v>17.5489</v>
      </c>
      <c r="K21" s="2">
        <v>15.5564</v>
      </c>
      <c r="L21" s="2">
        <v>13.639900000000001</v>
      </c>
      <c r="M21" s="2">
        <v>12.224500000000001</v>
      </c>
    </row>
    <row r="22" spans="1:13" x14ac:dyDescent="0.45">
      <c r="A22" s="3">
        <v>21</v>
      </c>
      <c r="B22" s="3">
        <v>100</v>
      </c>
      <c r="C22" s="3">
        <v>11</v>
      </c>
      <c r="D22" s="4">
        <v>40.0015</v>
      </c>
      <c r="E22" s="4">
        <v>41.193800000000003</v>
      </c>
      <c r="F22" s="4">
        <f t="shared" si="0"/>
        <v>1.192300000000003</v>
      </c>
      <c r="G22" s="4">
        <v>28.476500000000001</v>
      </c>
      <c r="H22" s="4">
        <v>25.586099999999998</v>
      </c>
      <c r="I22" s="4">
        <v>24.2529</v>
      </c>
      <c r="J22" s="4">
        <v>21.986499999999999</v>
      </c>
      <c r="K22" s="4">
        <v>19.754799999999999</v>
      </c>
      <c r="L22" s="4">
        <v>17.4359</v>
      </c>
      <c r="M22" s="4">
        <v>15.527100000000001</v>
      </c>
    </row>
    <row r="23" spans="1:13" x14ac:dyDescent="0.45">
      <c r="A23" s="3">
        <v>22</v>
      </c>
      <c r="B23" s="3">
        <v>100</v>
      </c>
      <c r="C23" s="3">
        <v>12</v>
      </c>
      <c r="D23" s="4">
        <v>40</v>
      </c>
      <c r="E23" s="4">
        <v>40.662999999999997</v>
      </c>
      <c r="F23" s="4">
        <f t="shared" si="0"/>
        <v>0.6629999999999967</v>
      </c>
      <c r="G23" s="4">
        <v>26.5154</v>
      </c>
      <c r="H23" s="4">
        <v>24.2529</v>
      </c>
      <c r="I23" s="4">
        <v>21.7912</v>
      </c>
      <c r="J23" s="4">
        <v>20.472300000000001</v>
      </c>
      <c r="K23" s="4">
        <v>18.394400000000001</v>
      </c>
      <c r="L23" s="4">
        <v>16.235199999999999</v>
      </c>
      <c r="M23" s="4">
        <v>14.202199999999999</v>
      </c>
    </row>
    <row r="24" spans="1:13" x14ac:dyDescent="0.45">
      <c r="A24" s="3">
        <v>23</v>
      </c>
      <c r="B24" s="3">
        <v>100</v>
      </c>
      <c r="C24" s="3">
        <v>13</v>
      </c>
      <c r="D24" s="4">
        <v>40</v>
      </c>
      <c r="E24" s="4">
        <v>40.258000000000003</v>
      </c>
      <c r="F24" s="4">
        <f t="shared" si="0"/>
        <v>0.25800000000000267</v>
      </c>
      <c r="G24" s="4">
        <v>25.133804000000001</v>
      </c>
      <c r="H24" s="4">
        <v>23.1951</v>
      </c>
      <c r="I24" s="4">
        <v>20.290600000000001</v>
      </c>
      <c r="J24" s="4">
        <v>19.062539999999998</v>
      </c>
      <c r="K24" s="4">
        <v>17.281099999999999</v>
      </c>
      <c r="L24" s="4">
        <v>14.8499</v>
      </c>
      <c r="M24" s="4">
        <v>13.4621</v>
      </c>
    </row>
    <row r="25" spans="1:13" x14ac:dyDescent="0.45">
      <c r="A25" s="3">
        <v>24</v>
      </c>
      <c r="B25" s="3">
        <v>100</v>
      </c>
      <c r="C25" s="3">
        <v>14</v>
      </c>
      <c r="D25" s="4">
        <v>40.002099999999999</v>
      </c>
      <c r="E25" s="4">
        <v>40.006300000000003</v>
      </c>
      <c r="F25" s="4">
        <f t="shared" si="0"/>
        <v>4.2000000000044224E-3</v>
      </c>
      <c r="G25" s="4">
        <v>23.6126</v>
      </c>
      <c r="H25" s="4">
        <v>20.110399999999998</v>
      </c>
      <c r="I25" s="4">
        <v>19.5794</v>
      </c>
      <c r="J25" s="4">
        <v>17.908799999999999</v>
      </c>
      <c r="K25" s="4">
        <v>16.235220000000002</v>
      </c>
      <c r="L25" s="4">
        <v>14.329459999999999</v>
      </c>
      <c r="M25" s="4">
        <v>12.4237</v>
      </c>
    </row>
    <row r="26" spans="1:13" x14ac:dyDescent="0.45">
      <c r="A26" s="3">
        <v>25</v>
      </c>
      <c r="B26" s="3">
        <v>80.599999999999994</v>
      </c>
      <c r="C26" s="3">
        <v>15</v>
      </c>
      <c r="D26" s="4">
        <v>38.125999999999998</v>
      </c>
      <c r="E26" s="4">
        <v>38.415799999999997</v>
      </c>
      <c r="F26" s="4">
        <f t="shared" si="0"/>
        <v>0.28979999999999961</v>
      </c>
      <c r="G26" s="4">
        <v>26.521899999999999</v>
      </c>
      <c r="H26" s="4">
        <v>24.5274</v>
      </c>
      <c r="I26" s="4">
        <v>22.431000000000001</v>
      </c>
      <c r="J26" s="4">
        <v>20.285900000000002</v>
      </c>
      <c r="K26" s="4">
        <v>16.4072</v>
      </c>
      <c r="L26" s="4">
        <v>16.4072</v>
      </c>
      <c r="M26" s="4">
        <v>14.349299999999999</v>
      </c>
    </row>
  </sheetData>
  <hyperlinks>
    <hyperlink ref="I1" r:id="rId1" xr:uid="{ABED95BE-B589-4453-94AA-3C868975A0AE}"/>
    <hyperlink ref="J1" r:id="rId2" xr:uid="{43C932F0-9281-492B-BCEB-83A6429C858A}"/>
    <hyperlink ref="K1" r:id="rId3" xr:uid="{865FF660-439E-46FF-8B2B-E8165F59C3C8}"/>
    <hyperlink ref="L1" r:id="rId4" xr:uid="{1FD4FBC7-DEA0-4055-955A-FA7574B455F4}"/>
    <hyperlink ref="M1" r:id="rId5" xr:uid="{C9516EC8-C8EB-43CD-8CE1-7B0BAEB31A0A}"/>
    <hyperlink ref="H1" r:id="rId6" xr:uid="{105BCD74-4066-44D1-8588-053A6718E113}"/>
    <hyperlink ref="G1" r:id="rId7" display="Freq@167° (MHz)" xr:uid="{09562ECC-9DFB-41BE-8645-62B60D0D81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4x7zp</dc:creator>
  <cp:lastModifiedBy>4x7zp</cp:lastModifiedBy>
  <dcterms:created xsi:type="dcterms:W3CDTF">2026-06-17T07:43:28Z</dcterms:created>
  <dcterms:modified xsi:type="dcterms:W3CDTF">2026-07-02T09:03:07Z</dcterms:modified>
</cp:coreProperties>
</file>